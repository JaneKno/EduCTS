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skm176_ku_dk/Documents/Documents/CodeLibrary/Playground/data/source/Fitusiran_PKPD_model/Kenet2024/"/>
    </mc:Choice>
  </mc:AlternateContent>
  <xr:revisionPtr revIDLastSave="256" documentId="8_{A5BE00BC-EAFA-463E-AD1C-116493DAA7B6}" xr6:coauthVersionLast="47" xr6:coauthVersionMax="47" xr10:uidLastSave="{210A09EA-DC68-418F-B15F-381FC206BC4F}"/>
  <bookViews>
    <workbookView xWindow="-110" yWindow="-110" windowWidth="19420" windowHeight="11500" xr2:uid="{0AD68467-7A7A-4EBC-8996-8C070CF23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5" i="1"/>
  <c r="D6" i="1"/>
  <c r="D7" i="1"/>
  <c r="D4" i="1"/>
  <c r="D3" i="1"/>
  <c r="D2" i="1"/>
</calcChain>
</file>

<file path=xl/sharedStrings.xml><?xml version="1.0" encoding="utf-8"?>
<sst xmlns="http://schemas.openxmlformats.org/spreadsheetml/2006/main" count="81" uniqueCount="18">
  <si>
    <t>Study</t>
  </si>
  <si>
    <t>Drug</t>
  </si>
  <si>
    <t>Time</t>
  </si>
  <si>
    <t xml:space="preserve">DV </t>
  </si>
  <si>
    <t>DV_CHR</t>
  </si>
  <si>
    <t>Time_unit</t>
  </si>
  <si>
    <t>DV_unit</t>
  </si>
  <si>
    <t>Dose_mg</t>
  </si>
  <si>
    <t>DV_type</t>
  </si>
  <si>
    <t>OBS</t>
  </si>
  <si>
    <t>n_subjects</t>
  </si>
  <si>
    <t>days</t>
  </si>
  <si>
    <t>Change from baseline in percent</t>
  </si>
  <si>
    <t>Kenet2024</t>
  </si>
  <si>
    <t>Futisiran</t>
  </si>
  <si>
    <t>AT</t>
  </si>
  <si>
    <t>Frequency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</si>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</sst>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60C0-F196-42C5-9825-22B725108616}">
  <dimension ref="A1:K11"/>
  <sheetViews>
    <sheetView tabSelected="1" topLeftCell="B1" workbookViewId="0">
      <selection activeCell="F15" sqref="F15"/>
    </sheetView>
  </sheetViews>
  <sheetFormatPr defaultRowHeight="14.5" x14ac:dyDescent="0.35"/>
  <cols>
    <col min="1" max="1" width="19.7265625" customWidth="1"/>
    <col min="2" max="2" width="14.26953125" customWidth="1"/>
    <col min="3" max="3" width="7.26953125" customWidth="1"/>
    <col min="4" max="4" width="17.1796875" customWidth="1"/>
    <col min="6" max="6" width="11.81640625" customWidth="1"/>
    <col min="7" max="7" width="43.26953125" customWidth="1"/>
    <col min="8" max="8" width="11.54296875" customWidth="1"/>
    <col min="10" max="10" width="15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16</v>
      </c>
      <c r="K1" t="s">
        <v>10</v>
      </c>
    </row>
    <row r="2" spans="1:11" x14ac:dyDescent="0.35">
      <c r="A2" t="s">
        <v>13</v>
      </c>
      <c r="B2" t="s">
        <v>14</v>
      </c>
      <c r="C2" s="1">
        <v>0</v>
      </c>
      <c r="D2">
        <f>0+100</f>
        <v>100</v>
      </c>
      <c r="E2" t="s">
        <v>15</v>
      </c>
      <c r="F2" t="s">
        <v>11</v>
      </c>
      <c r="G2" t="s">
        <v>12</v>
      </c>
      <c r="H2" t="s">
        <v>9</v>
      </c>
      <c r="I2">
        <v>80</v>
      </c>
      <c r="J2" t="s">
        <v>17</v>
      </c>
      <c r="K2">
        <v>66</v>
      </c>
    </row>
    <row r="3" spans="1:11" x14ac:dyDescent="0.35">
      <c r="A3" t="s">
        <v>13</v>
      </c>
      <c r="B3" t="s">
        <v>14</v>
      </c>
      <c r="C3">
        <v>14.5769436997318</v>
      </c>
      <c r="D3">
        <f>-71.5650552949061+100</f>
        <v>28.434944705093898</v>
      </c>
      <c r="E3" t="s">
        <v>15</v>
      </c>
      <c r="F3" t="s">
        <v>11</v>
      </c>
      <c r="G3" t="s">
        <v>12</v>
      </c>
      <c r="H3" t="s">
        <v>9</v>
      </c>
      <c r="I3">
        <v>80</v>
      </c>
      <c r="J3" t="s">
        <v>17</v>
      </c>
      <c r="K3">
        <v>66</v>
      </c>
    </row>
    <row r="4" spans="1:11" x14ac:dyDescent="0.35">
      <c r="A4" t="s">
        <v>13</v>
      </c>
      <c r="B4" t="s">
        <v>14</v>
      </c>
      <c r="C4">
        <v>29.153887399463699</v>
      </c>
      <c r="D4">
        <f>-80.116412533512+100</f>
        <v>19.883587466487995</v>
      </c>
      <c r="E4" t="s">
        <v>15</v>
      </c>
      <c r="F4" t="s">
        <v>11</v>
      </c>
      <c r="G4" t="s">
        <v>12</v>
      </c>
      <c r="H4" t="s">
        <v>9</v>
      </c>
      <c r="I4">
        <v>80</v>
      </c>
      <c r="J4" t="s">
        <v>17</v>
      </c>
      <c r="K4">
        <v>66</v>
      </c>
    </row>
    <row r="5" spans="1:11" x14ac:dyDescent="0.35">
      <c r="A5" t="s">
        <v>13</v>
      </c>
      <c r="B5" t="s">
        <v>14</v>
      </c>
      <c r="C5">
        <v>42.780160857908797</v>
      </c>
      <c r="D5">
        <f>-85.2330345174262+100</f>
        <v>14.766965482573795</v>
      </c>
      <c r="E5" t="s">
        <v>15</v>
      </c>
      <c r="F5" t="s">
        <v>11</v>
      </c>
      <c r="G5" t="s">
        <v>12</v>
      </c>
      <c r="H5" t="s">
        <v>9</v>
      </c>
      <c r="I5">
        <v>80</v>
      </c>
      <c r="J5" t="s">
        <v>17</v>
      </c>
      <c r="K5">
        <v>66</v>
      </c>
    </row>
    <row r="6" spans="1:11" x14ac:dyDescent="0.35">
      <c r="A6" t="s">
        <v>13</v>
      </c>
      <c r="B6" t="s">
        <v>14</v>
      </c>
      <c r="C6">
        <v>57.040214477211698</v>
      </c>
      <c r="D6">
        <f>-86.0509383378016+100</f>
        <v>13.949061662198403</v>
      </c>
      <c r="E6" t="s">
        <v>15</v>
      </c>
      <c r="F6" t="s">
        <v>11</v>
      </c>
      <c r="G6" t="s">
        <v>12</v>
      </c>
      <c r="H6" t="s">
        <v>9</v>
      </c>
      <c r="I6">
        <v>80</v>
      </c>
      <c r="J6" t="s">
        <v>17</v>
      </c>
      <c r="K6">
        <v>66</v>
      </c>
    </row>
    <row r="7" spans="1:11" x14ac:dyDescent="0.35">
      <c r="A7" t="s">
        <v>13</v>
      </c>
      <c r="B7" t="s">
        <v>14</v>
      </c>
      <c r="C7">
        <v>84.926541554959698</v>
      </c>
      <c r="D7">
        <f>-87.2589016420911+100</f>
        <v>12.741098357908896</v>
      </c>
      <c r="E7" t="s">
        <v>15</v>
      </c>
      <c r="F7" t="s">
        <v>11</v>
      </c>
      <c r="G7" t="s">
        <v>12</v>
      </c>
      <c r="H7" t="s">
        <v>9</v>
      </c>
      <c r="I7">
        <v>80</v>
      </c>
      <c r="J7" t="s">
        <v>17</v>
      </c>
      <c r="K7">
        <v>66</v>
      </c>
    </row>
    <row r="8" spans="1:11" x14ac:dyDescent="0.35">
      <c r="A8" t="s">
        <v>13</v>
      </c>
      <c r="B8" t="s">
        <v>14</v>
      </c>
      <c r="C8">
        <v>112.179088471849</v>
      </c>
      <c r="D8">
        <f>-86.7499581099195+100</f>
        <v>13.250041890080496</v>
      </c>
      <c r="E8" t="s">
        <v>15</v>
      </c>
      <c r="F8" t="s">
        <v>11</v>
      </c>
      <c r="G8" t="s">
        <v>12</v>
      </c>
      <c r="H8" t="s">
        <v>9</v>
      </c>
      <c r="I8">
        <v>80</v>
      </c>
      <c r="J8" t="s">
        <v>17</v>
      </c>
      <c r="K8">
        <v>66</v>
      </c>
    </row>
    <row r="9" spans="1:11" x14ac:dyDescent="0.35">
      <c r="A9" t="s">
        <v>13</v>
      </c>
      <c r="B9" t="s">
        <v>14</v>
      </c>
      <c r="C9">
        <v>140.699195710455</v>
      </c>
      <c r="D9">
        <f>-86.6670157506702+100</f>
        <v>13.332984249329797</v>
      </c>
      <c r="E9" t="s">
        <v>15</v>
      </c>
      <c r="F9" t="s">
        <v>11</v>
      </c>
      <c r="G9" t="s">
        <v>12</v>
      </c>
      <c r="H9" t="s">
        <v>9</v>
      </c>
      <c r="I9">
        <v>80</v>
      </c>
      <c r="J9" t="s">
        <v>17</v>
      </c>
      <c r="K9">
        <v>66</v>
      </c>
    </row>
    <row r="10" spans="1:11" x14ac:dyDescent="0.35">
      <c r="A10" t="s">
        <v>13</v>
      </c>
      <c r="B10" t="s">
        <v>14</v>
      </c>
      <c r="C10">
        <v>168.268632707774</v>
      </c>
      <c r="D10">
        <f>-87.4462131367292+100</f>
        <v>12.553786863270801</v>
      </c>
      <c r="E10" t="s">
        <v>15</v>
      </c>
      <c r="F10" t="s">
        <v>11</v>
      </c>
      <c r="G10" t="s">
        <v>12</v>
      </c>
      <c r="H10" t="s">
        <v>9</v>
      </c>
      <c r="I10">
        <v>80</v>
      </c>
      <c r="J10" t="s">
        <v>17</v>
      </c>
      <c r="K10">
        <v>66</v>
      </c>
    </row>
    <row r="11" spans="1:11" x14ac:dyDescent="0.35">
      <c r="A11" t="s">
        <v>13</v>
      </c>
      <c r="B11" t="s">
        <v>14</v>
      </c>
      <c r="C11">
        <v>197.105630026809</v>
      </c>
      <c r="D11">
        <f>-87.3623491957104+100</f>
        <v>12.637650804289606</v>
      </c>
      <c r="E11" t="s">
        <v>15</v>
      </c>
      <c r="F11" t="s">
        <v>11</v>
      </c>
      <c r="G11" t="s">
        <v>12</v>
      </c>
      <c r="H11" t="s">
        <v>9</v>
      </c>
      <c r="I11">
        <v>80</v>
      </c>
      <c r="J11" t="s">
        <v>17</v>
      </c>
      <c r="K11">
        <v>66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Knöchel</dc:creator>
  <cp:lastModifiedBy>Jane Knöchel</cp:lastModifiedBy>
  <dcterms:created xsi:type="dcterms:W3CDTF">2025-09-24T11:56:38Z</dcterms:created>
  <dcterms:modified xsi:type="dcterms:W3CDTF">2026-03-28T20:56:23Z</dcterms:modified>
</cp:coreProperties>
</file>